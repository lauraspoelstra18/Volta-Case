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26a443247c5ec9/Documenten/2526 Master ENV/Stepping stone UNIT 3/"/>
    </mc:Choice>
  </mc:AlternateContent>
  <xr:revisionPtr revIDLastSave="0" documentId="8_{B6372145-0BD8-40AA-ABC5-0A95625C4861}" xr6:coauthVersionLast="47" xr6:coauthVersionMax="47" xr10:uidLastSave="{00000000-0000-0000-0000-000000000000}"/>
  <bookViews>
    <workbookView xWindow="-108" yWindow="-108" windowWidth="23256" windowHeight="12456" xr2:uid="{89C7E30B-C2E8-4DBF-A9E2-DC87183BDFE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D23" i="1"/>
  <c r="E22" i="1"/>
  <c r="D22" i="1"/>
  <c r="D21" i="1"/>
  <c r="D20" i="1"/>
  <c r="Q15" i="1"/>
  <c r="R5" i="1" s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R9" i="1"/>
  <c r="H23" i="1" s="1"/>
  <c r="R4" i="1"/>
  <c r="E21" i="1" s="1"/>
  <c r="F23" i="1" l="1"/>
  <c r="F21" i="1"/>
  <c r="F22" i="1"/>
  <c r="F20" i="1"/>
  <c r="R7" i="1"/>
  <c r="R15" i="1"/>
  <c r="R10" i="1"/>
  <c r="R11" i="1"/>
  <c r="R6" i="1"/>
  <c r="H21" i="1"/>
  <c r="R8" i="1"/>
  <c r="E20" i="1"/>
  <c r="R12" i="1"/>
  <c r="R16" i="1" s="1"/>
  <c r="R13" i="1"/>
  <c r="H20" i="1"/>
  <c r="H22" i="1"/>
  <c r="R14" i="1"/>
  <c r="I23" i="1" l="1"/>
  <c r="I21" i="1"/>
  <c r="I20" i="1"/>
  <c r="I22" i="1"/>
  <c r="G23" i="1"/>
  <c r="G21" i="1"/>
  <c r="G20" i="1"/>
  <c r="G22" i="1"/>
</calcChain>
</file>

<file path=xl/sharedStrings.xml><?xml version="1.0" encoding="utf-8"?>
<sst xmlns="http://schemas.openxmlformats.org/spreadsheetml/2006/main" count="31" uniqueCount="29">
  <si>
    <t xml:space="preserve">Table 2.1:  Production of major food crops and crop area cultivated </t>
  </si>
  <si>
    <t>Production ('000 metric tonnes)</t>
  </si>
  <si>
    <t>Area Cultivated ('000 Hectares)</t>
  </si>
  <si>
    <t>Crop</t>
  </si>
  <si>
    <t>%</t>
  </si>
  <si>
    <t>Maize</t>
  </si>
  <si>
    <t>Rice (paddy)</t>
  </si>
  <si>
    <t>Millet</t>
  </si>
  <si>
    <t>Sorghum</t>
  </si>
  <si>
    <t>Cassava</t>
  </si>
  <si>
    <t>Yam</t>
  </si>
  <si>
    <t>Cocoyam</t>
  </si>
  <si>
    <t>Plantain</t>
  </si>
  <si>
    <t>Groundnut</t>
  </si>
  <si>
    <t>Cowpea</t>
  </si>
  <si>
    <t>Soya bean</t>
  </si>
  <si>
    <t>Total</t>
  </si>
  <si>
    <t>Source:  Statistics, Research and Information Directorate (SRID) MoFA – Fact and figures, 2021</t>
  </si>
  <si>
    <t>other crops</t>
  </si>
  <si>
    <t>regions</t>
  </si>
  <si>
    <t>crops Pixels</t>
  </si>
  <si>
    <t>Area of crops (ha)</t>
  </si>
  <si>
    <t xml:space="preserve">Maize area </t>
  </si>
  <si>
    <t>Rice area</t>
  </si>
  <si>
    <t>Other crops</t>
  </si>
  <si>
    <t>west</t>
  </si>
  <si>
    <t>south</t>
  </si>
  <si>
    <t>center</t>
  </si>
  <si>
    <t>north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</si>
</sst>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5" formatCode="_(* #,##0_);_(* \(#,##0\);_(* &quot;-&quot;??_);_(@_)"/>
    <numFmt numFmtId="166" formatCode="_(* #,##0.0_);_(* \(#,##0.0\);_(* &quot;-&quot;??_);_(@_)"/>
    <numFmt numFmtId="167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/>
    <xf numFmtId="0" fontId="4" fillId="0" borderId="5" xfId="0" applyFont="1" applyBorder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justify" vertical="center"/>
    </xf>
    <xf numFmtId="165" fontId="6" fillId="0" borderId="0" xfId="1" applyNumberFormat="1" applyFont="1" applyBorder="1" applyAlignment="1">
      <alignment horizontal="justify" vertical="center"/>
    </xf>
    <xf numFmtId="165" fontId="7" fillId="0" borderId="0" xfId="1" applyNumberFormat="1" applyFont="1" applyBorder="1" applyAlignment="1">
      <alignment horizontal="right" vertical="center"/>
    </xf>
    <xf numFmtId="3" fontId="6" fillId="0" borderId="0" xfId="0" applyNumberFormat="1" applyFont="1"/>
    <xf numFmtId="3" fontId="8" fillId="0" borderId="0" xfId="0" applyNumberFormat="1" applyFont="1"/>
    <xf numFmtId="3" fontId="6" fillId="0" borderId="8" xfId="0" applyNumberFormat="1" applyFont="1" applyBorder="1"/>
    <xf numFmtId="3" fontId="6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6" fillId="0" borderId="8" xfId="0" applyNumberFormat="1" applyFont="1" applyBorder="1" applyAlignment="1">
      <alignment horizontal="right" vertical="center" wrapText="1"/>
    </xf>
    <xf numFmtId="43" fontId="0" fillId="2" borderId="0" xfId="0" applyNumberFormat="1" applyFill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6" fillId="0" borderId="8" xfId="0" applyFont="1" applyBorder="1" applyAlignment="1">
      <alignment horizontal="right" vertical="center" wrapText="1"/>
    </xf>
    <xf numFmtId="165" fontId="6" fillId="0" borderId="8" xfId="1" applyNumberFormat="1" applyFont="1" applyBorder="1" applyAlignment="1">
      <alignment horizontal="right" vertical="center" wrapText="1"/>
    </xf>
    <xf numFmtId="43" fontId="0" fillId="0" borderId="0" xfId="0" applyNumberFormat="1"/>
    <xf numFmtId="165" fontId="8" fillId="0" borderId="0" xfId="1" applyNumberFormat="1" applyFont="1" applyFill="1" applyBorder="1" applyAlignment="1">
      <alignment horizontal="right" vertical="center"/>
    </xf>
    <xf numFmtId="165" fontId="6" fillId="0" borderId="8" xfId="1" applyNumberFormat="1" applyFont="1" applyFill="1" applyBorder="1" applyAlignment="1">
      <alignment horizontal="right" vertical="center" wrapText="1"/>
    </xf>
    <xf numFmtId="165" fontId="6" fillId="0" borderId="0" xfId="1" applyNumberFormat="1" applyFont="1" applyFill="1" applyBorder="1" applyAlignment="1">
      <alignment horizontal="right" vertical="center"/>
    </xf>
    <xf numFmtId="165" fontId="6" fillId="0" borderId="8" xfId="1" applyNumberFormat="1" applyFont="1" applyBorder="1" applyAlignment="1">
      <alignment horizontal="justify" vertical="center"/>
    </xf>
    <xf numFmtId="0" fontId="6" fillId="0" borderId="2" xfId="0" applyFont="1" applyBorder="1" applyAlignment="1">
      <alignment horizontal="justify" vertical="center"/>
    </xf>
    <xf numFmtId="166" fontId="6" fillId="0" borderId="3" xfId="1" applyNumberFormat="1" applyFont="1" applyBorder="1" applyAlignment="1">
      <alignment horizontal="justify" vertical="center"/>
    </xf>
    <xf numFmtId="165" fontId="6" fillId="0" borderId="3" xfId="1" applyNumberFormat="1" applyFont="1" applyBorder="1" applyAlignment="1">
      <alignment horizontal="justify" vertical="center"/>
    </xf>
    <xf numFmtId="165" fontId="6" fillId="0" borderId="4" xfId="1" applyNumberFormat="1" applyFont="1" applyBorder="1" applyAlignment="1">
      <alignment horizontal="justify" vertical="center"/>
    </xf>
    <xf numFmtId="166" fontId="8" fillId="0" borderId="10" xfId="1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167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2E19-FB64-435A-94CE-2166AFFA1C9B}">
  <dimension ref="A1:R23"/>
  <sheetViews>
    <sheetView tabSelected="1" workbookViewId="0">
      <selection activeCell="K22" sqref="K22"/>
    </sheetView>
  </sheetViews>
  <sheetFormatPr defaultRowHeight="14.4" x14ac:dyDescent="0.3"/>
  <cols>
    <col min="2" max="2" width="9.33203125" bestFit="1" customWidth="1"/>
    <col min="3" max="3" width="10" bestFit="1" customWidth="1"/>
    <col min="4" max="4" width="15.5546875" bestFit="1" customWidth="1"/>
    <col min="5" max="5" width="10.88671875" bestFit="1" customWidth="1"/>
    <col min="6" max="6" width="12.44140625" customWidth="1"/>
    <col min="7" max="9" width="10" customWidth="1"/>
  </cols>
  <sheetData>
    <row r="1" spans="1:18" ht="16.2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</row>
    <row r="2" spans="1:18" s="8" customFormat="1" ht="15" thickBot="1" x14ac:dyDescent="0.35">
      <c r="A2" s="3" t="s">
        <v>1</v>
      </c>
      <c r="B2" s="4"/>
      <c r="C2" s="4"/>
      <c r="D2" s="4"/>
      <c r="E2" s="4"/>
      <c r="F2" s="4"/>
      <c r="G2" s="4"/>
      <c r="H2" s="4"/>
      <c r="I2" s="5"/>
      <c r="J2" s="6" t="s">
        <v>2</v>
      </c>
      <c r="K2" s="6"/>
      <c r="L2" s="6"/>
      <c r="M2" s="6"/>
      <c r="N2" s="6"/>
      <c r="O2" s="6"/>
      <c r="P2" s="6"/>
      <c r="Q2" s="7"/>
    </row>
    <row r="3" spans="1:18" x14ac:dyDescent="0.3">
      <c r="A3" s="9" t="s">
        <v>3</v>
      </c>
      <c r="B3" s="10">
        <v>2014</v>
      </c>
      <c r="C3" s="11">
        <v>2015</v>
      </c>
      <c r="D3" s="11">
        <v>2016</v>
      </c>
      <c r="E3" s="11">
        <v>2017</v>
      </c>
      <c r="F3" s="11">
        <v>2018</v>
      </c>
      <c r="G3" s="11">
        <v>2019</v>
      </c>
      <c r="H3" s="11">
        <v>2020</v>
      </c>
      <c r="I3" s="12">
        <v>2021</v>
      </c>
      <c r="J3" s="13">
        <v>2014</v>
      </c>
      <c r="K3" s="13">
        <v>2015</v>
      </c>
      <c r="L3" s="13">
        <v>2016</v>
      </c>
      <c r="M3" s="13">
        <v>2017</v>
      </c>
      <c r="N3" s="13">
        <v>2018</v>
      </c>
      <c r="O3" s="13">
        <v>2019</v>
      </c>
      <c r="P3" s="13">
        <v>2020</v>
      </c>
      <c r="Q3" s="14">
        <v>2021</v>
      </c>
      <c r="R3" t="s">
        <v>4</v>
      </c>
    </row>
    <row r="4" spans="1:18" x14ac:dyDescent="0.3">
      <c r="A4" s="15" t="s">
        <v>5</v>
      </c>
      <c r="B4" s="16">
        <v>1769</v>
      </c>
      <c r="C4" s="17">
        <v>1691.64</v>
      </c>
      <c r="D4" s="17">
        <v>1721.91</v>
      </c>
      <c r="E4" s="17">
        <v>2011.18</v>
      </c>
      <c r="F4" s="17">
        <v>2306.38</v>
      </c>
      <c r="G4" s="18">
        <v>2911</v>
      </c>
      <c r="H4" s="19">
        <v>3071</v>
      </c>
      <c r="I4" s="20">
        <v>3203</v>
      </c>
      <c r="J4" s="17">
        <v>1025</v>
      </c>
      <c r="K4" s="17">
        <v>880.25</v>
      </c>
      <c r="L4" s="17">
        <v>865.28</v>
      </c>
      <c r="M4" s="17">
        <v>984.51</v>
      </c>
      <c r="N4" s="17">
        <v>1020.52</v>
      </c>
      <c r="O4" s="21">
        <v>1150</v>
      </c>
      <c r="P4" s="22">
        <v>1189</v>
      </c>
      <c r="Q4" s="23">
        <v>1266</v>
      </c>
      <c r="R4" s="24">
        <f>Q4/$Q$15</f>
        <v>0.26441102756892232</v>
      </c>
    </row>
    <row r="5" spans="1:18" ht="26.4" x14ac:dyDescent="0.3">
      <c r="A5" s="15" t="s">
        <v>6</v>
      </c>
      <c r="B5" s="16">
        <v>604</v>
      </c>
      <c r="C5" s="17">
        <v>641.49</v>
      </c>
      <c r="D5" s="17">
        <v>687.68</v>
      </c>
      <c r="E5" s="17">
        <v>722.08</v>
      </c>
      <c r="F5" s="17">
        <v>769.4</v>
      </c>
      <c r="G5" s="25">
        <v>925</v>
      </c>
      <c r="H5" s="25">
        <v>973</v>
      </c>
      <c r="I5" s="23">
        <v>1143</v>
      </c>
      <c r="J5" s="17">
        <v>224</v>
      </c>
      <c r="K5" s="17">
        <v>233.27</v>
      </c>
      <c r="L5" s="17">
        <v>235.85</v>
      </c>
      <c r="M5" s="17">
        <v>240.7</v>
      </c>
      <c r="N5" s="17">
        <v>259.70999999999998</v>
      </c>
      <c r="O5" s="25">
        <v>282</v>
      </c>
      <c r="P5" s="26">
        <v>291</v>
      </c>
      <c r="Q5" s="27">
        <v>357</v>
      </c>
      <c r="R5" s="24">
        <f t="shared" ref="R5:R15" si="0">Q5/$Q$15</f>
        <v>7.4561403508771926E-2</v>
      </c>
    </row>
    <row r="6" spans="1:18" x14ac:dyDescent="0.3">
      <c r="A6" s="15" t="s">
        <v>7</v>
      </c>
      <c r="B6" s="16">
        <v>155</v>
      </c>
      <c r="C6" s="17">
        <v>157.37</v>
      </c>
      <c r="D6" s="17">
        <v>159.02000000000001</v>
      </c>
      <c r="E6" s="17">
        <v>163.47999999999999</v>
      </c>
      <c r="F6" s="17">
        <v>181.56</v>
      </c>
      <c r="G6" s="17">
        <v>230</v>
      </c>
      <c r="H6" s="17">
        <v>236</v>
      </c>
      <c r="I6" s="28">
        <v>188</v>
      </c>
      <c r="J6" s="17">
        <v>162</v>
      </c>
      <c r="K6" s="17">
        <v>162.24</v>
      </c>
      <c r="L6" s="17">
        <v>136.91999999999999</v>
      </c>
      <c r="M6" s="17">
        <v>155.66</v>
      </c>
      <c r="N6" s="17">
        <v>141.63999999999999</v>
      </c>
      <c r="O6" s="25">
        <v>148</v>
      </c>
      <c r="P6" s="26">
        <v>139</v>
      </c>
      <c r="Q6" s="27">
        <v>125</v>
      </c>
      <c r="R6" s="29">
        <f t="shared" si="0"/>
        <v>2.6106934001670842E-2</v>
      </c>
    </row>
    <row r="7" spans="1:18" x14ac:dyDescent="0.3">
      <c r="A7" s="15" t="s">
        <v>8</v>
      </c>
      <c r="B7" s="16">
        <v>259</v>
      </c>
      <c r="C7" s="17">
        <v>263</v>
      </c>
      <c r="D7" s="17">
        <v>229.61</v>
      </c>
      <c r="E7" s="17">
        <v>277.54000000000002</v>
      </c>
      <c r="F7" s="17">
        <v>316.24</v>
      </c>
      <c r="G7" s="25">
        <v>347</v>
      </c>
      <c r="H7" s="30">
        <v>356</v>
      </c>
      <c r="I7" s="31">
        <v>324</v>
      </c>
      <c r="J7" s="17">
        <v>227</v>
      </c>
      <c r="K7" s="17">
        <v>228.39</v>
      </c>
      <c r="L7" s="17">
        <v>201.16</v>
      </c>
      <c r="M7" s="17">
        <v>223.51</v>
      </c>
      <c r="N7" s="17">
        <v>228.14</v>
      </c>
      <c r="O7" s="25">
        <v>226</v>
      </c>
      <c r="P7" s="26">
        <v>227</v>
      </c>
      <c r="Q7" s="27">
        <v>192</v>
      </c>
      <c r="R7" s="29">
        <f t="shared" si="0"/>
        <v>4.0100250626566414E-2</v>
      </c>
    </row>
    <row r="8" spans="1:18" x14ac:dyDescent="0.3">
      <c r="A8" s="15" t="s">
        <v>9</v>
      </c>
      <c r="B8" s="16">
        <v>16524</v>
      </c>
      <c r="C8" s="17">
        <v>17212.759999999998</v>
      </c>
      <c r="D8" s="17">
        <v>17798.22</v>
      </c>
      <c r="E8" s="17">
        <v>19008.73</v>
      </c>
      <c r="F8" s="17">
        <v>20845.96</v>
      </c>
      <c r="G8" s="21">
        <v>22750</v>
      </c>
      <c r="H8" s="32">
        <v>24368</v>
      </c>
      <c r="I8" s="31">
        <v>24997</v>
      </c>
      <c r="J8" s="17">
        <v>889</v>
      </c>
      <c r="K8" s="17">
        <v>916.54</v>
      </c>
      <c r="L8" s="17">
        <v>879.1</v>
      </c>
      <c r="M8" s="17">
        <v>916.84</v>
      </c>
      <c r="N8" s="17">
        <v>977.34</v>
      </c>
      <c r="O8" s="21">
        <v>1021</v>
      </c>
      <c r="P8" s="22">
        <v>1061</v>
      </c>
      <c r="Q8" s="23">
        <v>1051</v>
      </c>
      <c r="R8" s="24">
        <f t="shared" si="0"/>
        <v>0.21950710108604846</v>
      </c>
    </row>
    <row r="9" spans="1:18" x14ac:dyDescent="0.3">
      <c r="A9" s="15" t="s">
        <v>10</v>
      </c>
      <c r="B9" s="16">
        <v>7119</v>
      </c>
      <c r="C9" s="17">
        <v>7296.12</v>
      </c>
      <c r="D9" s="17">
        <v>7440.35</v>
      </c>
      <c r="E9" s="17">
        <v>7856.9</v>
      </c>
      <c r="F9" s="17">
        <v>7788.87</v>
      </c>
      <c r="G9" s="25">
        <v>8754</v>
      </c>
      <c r="H9" s="30">
        <v>8946</v>
      </c>
      <c r="I9" s="31">
        <v>10278</v>
      </c>
      <c r="J9" s="17">
        <v>428</v>
      </c>
      <c r="K9" s="17">
        <v>430.2</v>
      </c>
      <c r="L9" s="17">
        <v>427.22</v>
      </c>
      <c r="M9" s="17">
        <v>470.33</v>
      </c>
      <c r="N9" s="17">
        <v>469.69</v>
      </c>
      <c r="O9" s="25">
        <v>500</v>
      </c>
      <c r="P9" s="26">
        <v>505</v>
      </c>
      <c r="Q9" s="27">
        <v>551</v>
      </c>
      <c r="R9" s="24">
        <f t="shared" si="0"/>
        <v>0.11507936507936507</v>
      </c>
    </row>
    <row r="10" spans="1:18" x14ac:dyDescent="0.3">
      <c r="A10" s="15" t="s">
        <v>11</v>
      </c>
      <c r="B10" s="16">
        <v>1299</v>
      </c>
      <c r="C10" s="17">
        <v>1301.19</v>
      </c>
      <c r="D10" s="17">
        <v>1343.73</v>
      </c>
      <c r="E10" s="17">
        <v>1387.29</v>
      </c>
      <c r="F10" s="17">
        <v>1460.94</v>
      </c>
      <c r="G10" s="25">
        <v>5479</v>
      </c>
      <c r="H10" s="32">
        <v>1596</v>
      </c>
      <c r="I10" s="31">
        <v>1650</v>
      </c>
      <c r="J10" s="17">
        <v>200</v>
      </c>
      <c r="K10" s="17">
        <v>200.49</v>
      </c>
      <c r="L10" s="17">
        <v>205.86</v>
      </c>
      <c r="M10" s="17">
        <v>204.24</v>
      </c>
      <c r="N10" s="17">
        <v>203.23</v>
      </c>
      <c r="O10" s="25">
        <v>214</v>
      </c>
      <c r="P10" s="26">
        <v>213</v>
      </c>
      <c r="Q10" s="27">
        <v>219</v>
      </c>
      <c r="R10" s="29">
        <f t="shared" si="0"/>
        <v>4.5739348370927316E-2</v>
      </c>
    </row>
    <row r="11" spans="1:18" x14ac:dyDescent="0.3">
      <c r="A11" s="15" t="s">
        <v>12</v>
      </c>
      <c r="B11" s="16">
        <v>3828</v>
      </c>
      <c r="C11" s="17">
        <v>3952.44</v>
      </c>
      <c r="D11" s="17">
        <v>4000.42</v>
      </c>
      <c r="E11" s="17">
        <v>4278.83</v>
      </c>
      <c r="F11" s="17">
        <v>4688.28</v>
      </c>
      <c r="G11" s="25">
        <v>5479</v>
      </c>
      <c r="H11" s="30">
        <v>5811</v>
      </c>
      <c r="I11" s="31">
        <v>6177</v>
      </c>
      <c r="J11" s="17">
        <v>357</v>
      </c>
      <c r="K11" s="17">
        <v>362.61</v>
      </c>
      <c r="L11" s="17">
        <v>358.2</v>
      </c>
      <c r="M11" s="17">
        <v>363.4</v>
      </c>
      <c r="N11" s="17">
        <v>387.23</v>
      </c>
      <c r="O11" s="25">
        <v>409</v>
      </c>
      <c r="P11" s="26">
        <v>428</v>
      </c>
      <c r="Q11" s="27">
        <v>448</v>
      </c>
      <c r="R11" s="29">
        <f t="shared" si="0"/>
        <v>9.3567251461988299E-2</v>
      </c>
    </row>
    <row r="12" spans="1:18" ht="26.4" x14ac:dyDescent="0.3">
      <c r="A12" s="15" t="s">
        <v>13</v>
      </c>
      <c r="B12" s="16">
        <v>427</v>
      </c>
      <c r="C12" s="17">
        <v>417.2</v>
      </c>
      <c r="D12" s="17">
        <v>425.83</v>
      </c>
      <c r="E12" s="17">
        <v>438</v>
      </c>
      <c r="F12" s="17">
        <v>521.03</v>
      </c>
      <c r="G12" s="25">
        <v>563</v>
      </c>
      <c r="H12" s="32">
        <v>565</v>
      </c>
      <c r="I12" s="28">
        <v>502</v>
      </c>
      <c r="J12" s="17">
        <v>335</v>
      </c>
      <c r="K12" s="17">
        <v>336</v>
      </c>
      <c r="L12" s="17">
        <v>327</v>
      </c>
      <c r="M12" s="17">
        <v>316.31</v>
      </c>
      <c r="N12" s="17">
        <v>319.68</v>
      </c>
      <c r="O12" s="25">
        <v>337</v>
      </c>
      <c r="P12" s="26">
        <v>337</v>
      </c>
      <c r="Q12" s="27">
        <v>273</v>
      </c>
      <c r="R12" s="29">
        <f t="shared" si="0"/>
        <v>5.701754385964912E-2</v>
      </c>
    </row>
    <row r="13" spans="1:18" x14ac:dyDescent="0.3">
      <c r="A13" s="15" t="s">
        <v>14</v>
      </c>
      <c r="B13" s="16">
        <v>201</v>
      </c>
      <c r="C13" s="17">
        <v>203.32</v>
      </c>
      <c r="D13" s="17">
        <v>206.38</v>
      </c>
      <c r="E13" s="17">
        <v>211.47</v>
      </c>
      <c r="F13" s="17">
        <v>237.04</v>
      </c>
      <c r="G13" s="26">
        <v>254</v>
      </c>
      <c r="H13" s="30">
        <v>257</v>
      </c>
      <c r="I13" s="31">
        <v>300</v>
      </c>
      <c r="J13" s="17">
        <v>166</v>
      </c>
      <c r="K13" s="17">
        <v>163</v>
      </c>
      <c r="L13" s="17">
        <v>147</v>
      </c>
      <c r="M13" s="17">
        <v>153.91</v>
      </c>
      <c r="N13" s="17">
        <v>156.79</v>
      </c>
      <c r="O13" s="26">
        <v>169</v>
      </c>
      <c r="P13" s="26">
        <v>169</v>
      </c>
      <c r="Q13" s="27">
        <v>180</v>
      </c>
      <c r="R13" s="29">
        <f t="shared" si="0"/>
        <v>3.7593984962406013E-2</v>
      </c>
    </row>
    <row r="14" spans="1:18" ht="15" thickBot="1" x14ac:dyDescent="0.35">
      <c r="A14" s="15" t="s">
        <v>15</v>
      </c>
      <c r="B14" s="16">
        <v>141</v>
      </c>
      <c r="C14" s="17">
        <v>142.36000000000001</v>
      </c>
      <c r="D14" s="17">
        <v>143.22</v>
      </c>
      <c r="E14" s="17">
        <v>170.49</v>
      </c>
      <c r="F14" s="17">
        <v>176.67</v>
      </c>
      <c r="G14" s="25">
        <v>193</v>
      </c>
      <c r="H14" s="32">
        <v>209</v>
      </c>
      <c r="I14" s="33">
        <v>218</v>
      </c>
      <c r="J14" s="17">
        <v>87</v>
      </c>
      <c r="K14" s="17">
        <v>86</v>
      </c>
      <c r="L14" s="17">
        <v>87</v>
      </c>
      <c r="M14" s="17">
        <v>102.6</v>
      </c>
      <c r="N14" s="17">
        <v>102.98</v>
      </c>
      <c r="O14" s="25">
        <v>112</v>
      </c>
      <c r="P14" s="26">
        <v>116</v>
      </c>
      <c r="Q14" s="27">
        <v>126</v>
      </c>
      <c r="R14" s="29">
        <f t="shared" si="0"/>
        <v>2.6315789473684209E-2</v>
      </c>
    </row>
    <row r="15" spans="1:18" ht="15" thickBot="1" x14ac:dyDescent="0.35">
      <c r="A15" s="34" t="s">
        <v>16</v>
      </c>
      <c r="B15" s="35">
        <f>SUM(B4:B14)</f>
        <v>32326</v>
      </c>
      <c r="C15" s="35">
        <f t="shared" ref="C15:I15" si="1">SUM(C4:C14)</f>
        <v>33278.889999999992</v>
      </c>
      <c r="D15" s="35">
        <f t="shared" si="1"/>
        <v>34156.370000000003</v>
      </c>
      <c r="E15" s="35">
        <f t="shared" si="1"/>
        <v>36525.99</v>
      </c>
      <c r="F15" s="35">
        <f t="shared" si="1"/>
        <v>39292.369999999995</v>
      </c>
      <c r="G15" s="35">
        <f t="shared" si="1"/>
        <v>47885</v>
      </c>
      <c r="H15" s="36">
        <f t="shared" si="1"/>
        <v>46388</v>
      </c>
      <c r="I15" s="37">
        <f t="shared" si="1"/>
        <v>48980</v>
      </c>
      <c r="J15" s="38">
        <f>SUM(J4:J14)</f>
        <v>4100</v>
      </c>
      <c r="K15" s="38">
        <f t="shared" ref="K15:Q15" si="2">SUM(K4:K14)</f>
        <v>3998.9900000000002</v>
      </c>
      <c r="L15" s="38">
        <f t="shared" si="2"/>
        <v>3870.5899999999997</v>
      </c>
      <c r="M15" s="38">
        <f t="shared" si="2"/>
        <v>4132.01</v>
      </c>
      <c r="N15" s="38">
        <f t="shared" si="2"/>
        <v>4266.95</v>
      </c>
      <c r="O15" s="38">
        <f t="shared" si="2"/>
        <v>4568</v>
      </c>
      <c r="P15" s="38">
        <f t="shared" si="2"/>
        <v>4675</v>
      </c>
      <c r="Q15" s="38">
        <f t="shared" si="2"/>
        <v>4788</v>
      </c>
      <c r="R15" s="29">
        <f t="shared" si="0"/>
        <v>1</v>
      </c>
    </row>
    <row r="16" spans="1:18" ht="23.25" customHeight="1" x14ac:dyDescent="0.3">
      <c r="A16" s="39" t="s">
        <v>17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P16" t="s">
        <v>18</v>
      </c>
      <c r="R16" s="24">
        <f>SUM(R12:R14,R11,R10,R6:R7)</f>
        <v>0.3264411027568922</v>
      </c>
    </row>
    <row r="19" spans="2:9" x14ac:dyDescent="0.3"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9</v>
      </c>
      <c r="H19" t="s">
        <v>10</v>
      </c>
      <c r="I19" t="s">
        <v>24</v>
      </c>
    </row>
    <row r="20" spans="2:9" x14ac:dyDescent="0.3">
      <c r="B20" t="s">
        <v>25</v>
      </c>
      <c r="C20">
        <v>90624</v>
      </c>
      <c r="D20">
        <f>C20*(300*300)/10000</f>
        <v>815616</v>
      </c>
      <c r="E20" s="40">
        <f>D20*$R$4</f>
        <v>215657.86466165414</v>
      </c>
      <c r="F20" s="40">
        <f>D20*$R$5</f>
        <v>60813.473684210519</v>
      </c>
      <c r="G20" s="40">
        <f>D20*$R$8</f>
        <v>179033.5037593985</v>
      </c>
      <c r="H20" s="40">
        <f>D20*$R$9</f>
        <v>93860.57142857142</v>
      </c>
      <c r="I20" s="40">
        <f>D20*$R$16</f>
        <v>266250.58646616538</v>
      </c>
    </row>
    <row r="21" spans="2:9" x14ac:dyDescent="0.3">
      <c r="B21" t="s">
        <v>26</v>
      </c>
      <c r="C21">
        <v>24300</v>
      </c>
      <c r="D21">
        <f t="shared" ref="D21:D23" si="3">C21*(300*300)/10000</f>
        <v>218700</v>
      </c>
      <c r="E21" s="40">
        <f t="shared" ref="E21:E23" si="4">D21*$R$4</f>
        <v>57826.691729323313</v>
      </c>
      <c r="F21" s="40">
        <f t="shared" ref="F21:F23" si="5">D21*$R$5</f>
        <v>16306.57894736842</v>
      </c>
      <c r="G21" s="40">
        <f t="shared" ref="G21:G23" si="6">D21*$R$8</f>
        <v>48006.203007518794</v>
      </c>
      <c r="H21" s="40">
        <f t="shared" ref="H21:H23" si="7">D21*$R$9</f>
        <v>25167.857142857141</v>
      </c>
      <c r="I21" s="40">
        <f t="shared" ref="I21:I23" si="8">D21*$R$16</f>
        <v>71392.669172932321</v>
      </c>
    </row>
    <row r="22" spans="2:9" x14ac:dyDescent="0.3">
      <c r="B22" t="s">
        <v>27</v>
      </c>
      <c r="C22">
        <v>170086</v>
      </c>
      <c r="D22">
        <f t="shared" si="3"/>
        <v>1530774</v>
      </c>
      <c r="E22" s="40">
        <f>D22*$R$4</f>
        <v>404753.5263157895</v>
      </c>
      <c r="F22" s="40">
        <f t="shared" si="5"/>
        <v>114136.65789473684</v>
      </c>
      <c r="G22" s="40">
        <f t="shared" si="6"/>
        <v>336015.76315789472</v>
      </c>
      <c r="H22" s="40">
        <f t="shared" si="7"/>
        <v>176160.5</v>
      </c>
      <c r="I22" s="40">
        <f t="shared" si="8"/>
        <v>499707.55263157887</v>
      </c>
    </row>
    <row r="23" spans="2:9" x14ac:dyDescent="0.3">
      <c r="B23" t="s">
        <v>28</v>
      </c>
      <c r="C23">
        <v>74346</v>
      </c>
      <c r="D23">
        <f t="shared" si="3"/>
        <v>669114</v>
      </c>
      <c r="E23" s="40">
        <f t="shared" si="4"/>
        <v>176921.12030075188</v>
      </c>
      <c r="F23" s="40">
        <f t="shared" si="5"/>
        <v>49890.07894736842</v>
      </c>
      <c r="G23" s="40">
        <f t="shared" si="6"/>
        <v>146875.27443609023</v>
      </c>
      <c r="H23" s="40">
        <f t="shared" si="7"/>
        <v>77001.214285714275</v>
      </c>
      <c r="I23" s="40">
        <f t="shared" si="8"/>
        <v>218426.31203007518</v>
      </c>
    </row>
  </sheetData>
  <mergeCells count="3">
    <mergeCell ref="A1:N1"/>
    <mergeCell ref="A2:I2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Spoelstra</dc:creator>
  <cp:lastModifiedBy>Laura Spoelstra</cp:lastModifiedBy>
  <dcterms:created xsi:type="dcterms:W3CDTF">2026-02-26T14:24:44Z</dcterms:created>
  <dcterms:modified xsi:type="dcterms:W3CDTF">2026-02-26T14:25:33Z</dcterms:modified>
</cp:coreProperties>
</file>